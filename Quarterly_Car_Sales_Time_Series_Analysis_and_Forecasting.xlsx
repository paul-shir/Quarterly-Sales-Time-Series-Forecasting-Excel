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effi_Tech\ANALYZED DATA\EXCEL DATA ANALYSIS\Excel Github file\"/>
    </mc:Choice>
  </mc:AlternateContent>
  <xr:revisionPtr revIDLastSave="0" documentId="13_ncr:1_{734FE303-BD25-4C02-BDB4-B08C99716FB8}" xr6:coauthVersionLast="47" xr6:coauthVersionMax="47" xr10:uidLastSave="{00000000-0000-0000-0000-000000000000}"/>
  <bookViews>
    <workbookView xWindow="-110" yWindow="-110" windowWidth="19420" windowHeight="11020" xr2:uid="{9927B05A-1ECC-468D-8E20-8346E99F756B}"/>
  </bookViews>
  <sheets>
    <sheet name="Time Series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" i="1" l="1"/>
  <c r="F20" i="1"/>
  <c r="F8" i="1"/>
  <c r="K23" i="1"/>
  <c r="K24" i="1"/>
  <c r="K25" i="1"/>
  <c r="K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6" i="1"/>
  <c r="F16" i="1" l="1"/>
  <c r="F9" i="1"/>
  <c r="G8" i="1" s="1"/>
  <c r="H8" i="1" s="1"/>
  <c r="F10" i="1"/>
  <c r="F11" i="1"/>
  <c r="F12" i="1"/>
  <c r="F13" i="1"/>
  <c r="F14" i="1"/>
  <c r="F15" i="1"/>
  <c r="F17" i="1"/>
  <c r="F18" i="1"/>
  <c r="F19" i="1"/>
  <c r="G19" i="1" s="1"/>
  <c r="H19" i="1" s="1"/>
  <c r="G11" i="1" l="1"/>
  <c r="H11" i="1" s="1"/>
  <c r="G12" i="1"/>
  <c r="H12" i="1" s="1"/>
  <c r="G10" i="1"/>
  <c r="H10" i="1" s="1"/>
  <c r="G13" i="1"/>
  <c r="H13" i="1" s="1"/>
  <c r="G18" i="1"/>
  <c r="H18" i="1" s="1"/>
  <c r="G15" i="1"/>
  <c r="H15" i="1" s="1"/>
  <c r="G14" i="1"/>
  <c r="H14" i="1" s="1"/>
  <c r="H52" i="1" s="1"/>
  <c r="G16" i="1"/>
  <c r="H16" i="1" s="1"/>
  <c r="H54" i="1" s="1"/>
  <c r="I8" i="1" s="1"/>
  <c r="G17" i="1"/>
  <c r="H17" i="1" s="1"/>
  <c r="G9" i="1"/>
  <c r="H9" i="1" s="1"/>
  <c r="H53" i="1"/>
  <c r="I7" i="1" s="1"/>
  <c r="L7" i="1" s="1"/>
  <c r="H55" i="1" l="1"/>
  <c r="I9" i="1" s="1"/>
  <c r="L9" i="1" s="1"/>
  <c r="I6" i="1"/>
  <c r="J6" i="1" s="1"/>
  <c r="I18" i="1"/>
  <c r="L18" i="1" s="1"/>
  <c r="I17" i="1"/>
  <c r="L17" i="1" s="1"/>
  <c r="I21" i="1"/>
  <c r="L21" i="1" s="1"/>
  <c r="I26" i="1"/>
  <c r="L26" i="1" s="1"/>
  <c r="J9" i="1"/>
  <c r="I13" i="1"/>
  <c r="J13" i="1" s="1"/>
  <c r="I24" i="1"/>
  <c r="L24" i="1" s="1"/>
  <c r="I15" i="1"/>
  <c r="J15" i="1" s="1"/>
  <c r="J7" i="1"/>
  <c r="I11" i="1"/>
  <c r="L11" i="1" s="1"/>
  <c r="I19" i="1"/>
  <c r="L19" i="1" s="1"/>
  <c r="I16" i="1"/>
  <c r="L16" i="1" s="1"/>
  <c r="I20" i="1"/>
  <c r="L20" i="1" s="1"/>
  <c r="I23" i="1"/>
  <c r="L23" i="1" s="1"/>
  <c r="I14" i="1"/>
  <c r="J14" i="1" s="1"/>
  <c r="I10" i="1"/>
  <c r="L8" i="1"/>
  <c r="J8" i="1"/>
  <c r="I12" i="1"/>
  <c r="L12" i="1" s="1"/>
  <c r="I25" i="1"/>
  <c r="L25" i="1" s="1"/>
  <c r="J11" i="1"/>
  <c r="J17" i="1" l="1"/>
  <c r="J18" i="1"/>
  <c r="L6" i="1"/>
  <c r="L13" i="1"/>
  <c r="J21" i="1"/>
  <c r="L15" i="1"/>
  <c r="J19" i="1"/>
  <c r="J20" i="1"/>
  <c r="J16" i="1"/>
  <c r="J12" i="1"/>
  <c r="L14" i="1"/>
  <c r="L10" i="1"/>
  <c r="J10" i="1"/>
</calcChain>
</file>

<file path=xl/sharedStrings.xml><?xml version="1.0" encoding="utf-8"?>
<sst xmlns="http://schemas.openxmlformats.org/spreadsheetml/2006/main" count="59" uniqueCount="54">
  <si>
    <t>YEAR 1</t>
  </si>
  <si>
    <t>YEAR 2</t>
  </si>
  <si>
    <t>YEAR 3</t>
  </si>
  <si>
    <t>YEAR 4</t>
  </si>
  <si>
    <t>t</t>
  </si>
  <si>
    <t>MA(4)</t>
  </si>
  <si>
    <t>CMA(4)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</si>
  <si>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</t>
    </r>
  </si>
  <si>
    <t>QUARTER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</si>
  <si>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</si>
  <si>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</si>
  <si>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</si>
  <si>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</si>
  <si>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</si>
  <si>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</si>
  <si>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</si>
  <si>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</si>
  <si>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</si>
  <si>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</si>
  <si>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</si>
  <si>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</si>
  <si>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</si>
  <si>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</si>
  <si>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</si>
  <si>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</si>
  <si>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</si>
  <si>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</si>
  <si>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</si>
  <si>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</si>
  <si>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</si>
  <si>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</si>
  <si>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</si>
  <si>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</si>
  <si>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YEAR 5</t>
  </si>
  <si>
    <t>SEASONAL</t>
  </si>
  <si>
    <t>INDICES</t>
  </si>
  <si>
    <t>Time (t)</t>
  </si>
  <si>
    <t>Year</t>
  </si>
  <si>
    <t>Quarter</t>
  </si>
  <si>
    <t>Sales ('000)</t>
  </si>
  <si>
    <t>Seasonal Index (St)</t>
  </si>
  <si>
    <t>Deseasonalized Sales</t>
  </si>
  <si>
    <t xml:space="preserve">Trend (Tt) </t>
  </si>
  <si>
    <t>Forecast</t>
  </si>
  <si>
    <t>FORECAST PERIOD</t>
  </si>
  <si>
    <t>Forecast Sales</t>
  </si>
  <si>
    <t>MODEL SUMMARY</t>
  </si>
  <si>
    <t>Measure</t>
  </si>
  <si>
    <t>Result</t>
  </si>
  <si>
    <t>R²</t>
  </si>
  <si>
    <t>Trend Slope</t>
  </si>
  <si>
    <t>Seasonal Index</t>
  </si>
  <si>
    <t>QUARTERLY SEASONAL INDICES</t>
  </si>
  <si>
    <t>Seasonal-Irregular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</si>
</sst>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/>
    <xf numFmtId="164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Continuous"/>
    </xf>
    <xf numFmtId="0" fontId="0" fillId="2" borderId="0" xfId="0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0" fillId="0" borderId="6" xfId="0" applyBorder="1"/>
    <xf numFmtId="0" fontId="3" fillId="0" borderId="6" xfId="0" applyFont="1" applyBorder="1"/>
    <xf numFmtId="0" fontId="1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Border="1"/>
    <xf numFmtId="16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12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0" fillId="0" borderId="13" xfId="0" applyBorder="1"/>
    <xf numFmtId="0" fontId="0" fillId="0" borderId="0" xfId="0" applyBorder="1"/>
    <xf numFmtId="0" fontId="5" fillId="0" borderId="14" xfId="0" applyFont="1" applyFill="1" applyBorder="1" applyAlignment="1">
      <alignment horizontal="centerContinuous"/>
    </xf>
    <xf numFmtId="0" fontId="0" fillId="0" borderId="13" xfId="0" applyFill="1" applyBorder="1" applyAlignment="1"/>
    <xf numFmtId="0" fontId="0" fillId="0" borderId="15" xfId="0" applyFill="1" applyBorder="1" applyAlignment="1"/>
    <xf numFmtId="0" fontId="5" fillId="0" borderId="14" xfId="0" applyFont="1" applyFill="1" applyBorder="1" applyAlignment="1">
      <alignment horizontal="center"/>
    </xf>
    <xf numFmtId="0" fontId="0" fillId="0" borderId="16" xfId="0" applyFill="1" applyBorder="1" applyAlignment="1"/>
    <xf numFmtId="0" fontId="0" fillId="2" borderId="1" xfId="0" applyFill="1" applyBorder="1" applyAlignment="1"/>
    <xf numFmtId="0" fontId="0" fillId="0" borderId="1" xfId="0" applyFill="1" applyBorder="1" applyAlignment="1"/>
    <xf numFmtId="0" fontId="0" fillId="0" borderId="7" xfId="0" applyFill="1" applyBorder="1" applyAlignment="1"/>
    <xf numFmtId="0" fontId="1" fillId="0" borderId="6" xfId="0" applyFont="1" applyBorder="1"/>
    <xf numFmtId="0" fontId="1" fillId="3" borderId="9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>
      <alignment horizontal="center" vertical="center"/>
    </xf>
    <xf numFmtId="2" fontId="9" fillId="4" borderId="9" xfId="0" applyNumberFormat="1" applyFont="1" applyFill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2" fontId="8" fillId="4" borderId="10" xfId="0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64" fontId="9" fillId="4" borderId="0" xfId="0" applyNumberFormat="1" applyFont="1" applyFill="1" applyBorder="1" applyAlignment="1">
      <alignment horizontal="center" vertical="center"/>
    </xf>
    <xf numFmtId="2" fontId="9" fillId="4" borderId="0" xfId="0" applyNumberFormat="1" applyFont="1" applyFill="1" applyBorder="1" applyAlignment="1">
      <alignment horizontal="center" vertical="center"/>
    </xf>
    <xf numFmtId="2" fontId="8" fillId="4" borderId="0" xfId="0" applyNumberFormat="1" applyFont="1" applyFill="1" applyBorder="1" applyAlignment="1">
      <alignment horizontal="center" vertical="center"/>
    </xf>
    <xf numFmtId="2" fontId="8" fillId="4" borderId="6" xfId="0" applyNumberFormat="1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/>
    <xf numFmtId="0" fontId="1" fillId="0" borderId="0" xfId="0" applyFont="1" applyBorder="1"/>
    <xf numFmtId="0" fontId="7" fillId="5" borderId="7" xfId="0" applyFont="1" applyFill="1" applyBorder="1"/>
    <xf numFmtId="0" fontId="8" fillId="0" borderId="6" xfId="0" applyFont="1" applyBorder="1"/>
    <xf numFmtId="0" fontId="7" fillId="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9E5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752830952232966E-2"/>
          <c:y val="9.1066269522388221E-2"/>
          <c:w val="0.8555370478987625"/>
          <c:h val="0.82237684564125269"/>
        </c:manualLayout>
      </c:layout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'Time Series Analysis'!$C$6:$D$26</c:f>
              <c:multiLvlStrCache>
                <c:ptCount val="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</c:lvl>
                <c:lvl>
                  <c:pt idx="0">
                    <c:v>YEAR 1</c:v>
                  </c:pt>
                  <c:pt idx="4">
                    <c:v>YEAR 2</c:v>
                  </c:pt>
                  <c:pt idx="8">
                    <c:v>YEAR 3</c:v>
                  </c:pt>
                  <c:pt idx="12">
                    <c:v>YEAR 4</c:v>
                  </c:pt>
                  <c:pt idx="17">
                    <c:v>YEAR 5</c:v>
                  </c:pt>
                </c:lvl>
              </c:multiLvlStrCache>
            </c:multiLvlStrRef>
          </c:cat>
          <c:val>
            <c:numRef>
              <c:f>'Time Series Analysis'!$E$6:$E$21</c:f>
              <c:numCache>
                <c:formatCode>0.0</c:formatCode>
                <c:ptCount val="16"/>
                <c:pt idx="0">
                  <c:v>4.8</c:v>
                </c:pt>
                <c:pt idx="1">
                  <c:v>4.0999999999999996</c:v>
                </c:pt>
                <c:pt idx="2">
                  <c:v>6</c:v>
                </c:pt>
                <c:pt idx="3">
                  <c:v>6.5</c:v>
                </c:pt>
                <c:pt idx="4">
                  <c:v>5.8</c:v>
                </c:pt>
                <c:pt idx="5">
                  <c:v>5.2</c:v>
                </c:pt>
                <c:pt idx="6">
                  <c:v>6.8</c:v>
                </c:pt>
                <c:pt idx="7">
                  <c:v>7.4</c:v>
                </c:pt>
                <c:pt idx="8">
                  <c:v>6</c:v>
                </c:pt>
                <c:pt idx="9">
                  <c:v>5.6</c:v>
                </c:pt>
                <c:pt idx="10">
                  <c:v>7.5</c:v>
                </c:pt>
                <c:pt idx="11">
                  <c:v>7.8</c:v>
                </c:pt>
                <c:pt idx="12">
                  <c:v>6.3</c:v>
                </c:pt>
                <c:pt idx="13">
                  <c:v>5.9</c:v>
                </c:pt>
                <c:pt idx="14">
                  <c:v>8</c:v>
                </c:pt>
                <c:pt idx="15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96-4797-B734-BEB69EB9F3A2}"/>
            </c:ext>
          </c:extLst>
        </c:ser>
        <c:ser>
          <c:idx val="2"/>
          <c:order val="1"/>
          <c:tx>
            <c:v>Forecast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'Time Series Analysis'!$C$6:$D$26</c:f>
              <c:multiLvlStrCache>
                <c:ptCount val="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</c:lvl>
                <c:lvl>
                  <c:pt idx="0">
                    <c:v>YEAR 1</c:v>
                  </c:pt>
                  <c:pt idx="4">
                    <c:v>YEAR 2</c:v>
                  </c:pt>
                  <c:pt idx="8">
                    <c:v>YEAR 3</c:v>
                  </c:pt>
                  <c:pt idx="12">
                    <c:v>YEAR 4</c:v>
                  </c:pt>
                  <c:pt idx="17">
                    <c:v>YEAR 5</c:v>
                  </c:pt>
                </c:lvl>
              </c:multiLvlStrCache>
            </c:multiLvlStrRef>
          </c:cat>
          <c:val>
            <c:numRef>
              <c:f>'Time Series Analysis'!$L$6:$L$26</c:f>
              <c:numCache>
                <c:formatCode>0.00</c:formatCode>
                <c:ptCount val="21"/>
                <c:pt idx="0">
                  <c:v>4.8910217457555092</c:v>
                </c:pt>
                <c:pt idx="1">
                  <c:v>4.5187789221218049</c:v>
                </c:pt>
                <c:pt idx="2">
                  <c:v>6.0582746266073508</c:v>
                </c:pt>
                <c:pt idx="3">
                  <c:v>6.5033082491849266</c:v>
                </c:pt>
                <c:pt idx="4">
                  <c:v>5.4396728703815658</c:v>
                </c:pt>
                <c:pt idx="5">
                  <c:v>5.0118461761752728</c:v>
                </c:pt>
                <c:pt idx="6">
                  <c:v>6.7017704050982871</c:v>
                </c:pt>
                <c:pt idx="7">
                  <c:v>7.176206051294848</c:v>
                </c:pt>
                <c:pt idx="8">
                  <c:v>5.9883239950076215</c:v>
                </c:pt>
                <c:pt idx="9">
                  <c:v>5.5049134302287399</c:v>
                </c:pt>
                <c:pt idx="10">
                  <c:v>7.3452661835892226</c:v>
                </c:pt>
                <c:pt idx="11">
                  <c:v>7.8491038534047686</c:v>
                </c:pt>
                <c:pt idx="12">
                  <c:v>6.5369751196336772</c:v>
                </c:pt>
                <c:pt idx="13">
                  <c:v>5.9979806842822079</c:v>
                </c:pt>
                <c:pt idx="14">
                  <c:v>7.988761962080158</c:v>
                </c:pt>
                <c:pt idx="15">
                  <c:v>8.5220016555146891</c:v>
                </c:pt>
                <c:pt idx="17">
                  <c:v>7.0856262442597329</c:v>
                </c:pt>
                <c:pt idx="18">
                  <c:v>6.4910479383356749</c:v>
                </c:pt>
                <c:pt idx="19">
                  <c:v>8.6322577405710952</c:v>
                </c:pt>
                <c:pt idx="20">
                  <c:v>9.1948994576246115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96-4797-B734-BEB69EB9F3A2}"/>
            </c:ext>
          </c:extLst>
        </c:ser>
        <c:ser>
          <c:idx val="1"/>
          <c:order val="2"/>
          <c:tx>
            <c:v>Trend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'Time Series Analysis'!$K$5:$K$21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5.2467488107686799</c:v>
                </c:pt>
                <c:pt idx="2">
                  <c:v>5.3938875266288564</c:v>
                </c:pt>
                <c:pt idx="3">
                  <c:v>5.5410262424890329</c:v>
                </c:pt>
                <c:pt idx="4">
                  <c:v>5.6881649583492093</c:v>
                </c:pt>
                <c:pt idx="5">
                  <c:v>5.8353036742093867</c:v>
                </c:pt>
                <c:pt idx="6">
                  <c:v>5.9824423900695631</c:v>
                </c:pt>
                <c:pt idx="7">
                  <c:v>6.1295811059297396</c:v>
                </c:pt>
                <c:pt idx="8">
                  <c:v>6.2767198217899161</c:v>
                </c:pt>
                <c:pt idx="9">
                  <c:v>6.4238585376500925</c:v>
                </c:pt>
                <c:pt idx="10">
                  <c:v>6.570997253510269</c:v>
                </c:pt>
                <c:pt idx="11">
                  <c:v>6.7181359693704454</c:v>
                </c:pt>
                <c:pt idx="12">
                  <c:v>6.8652746852306219</c:v>
                </c:pt>
                <c:pt idx="13">
                  <c:v>7.0124134010907984</c:v>
                </c:pt>
                <c:pt idx="14">
                  <c:v>7.1595521169509748</c:v>
                </c:pt>
                <c:pt idx="15">
                  <c:v>7.3066908328111513</c:v>
                </c:pt>
                <c:pt idx="16">
                  <c:v>7.4538295486713277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B-4694-AC7B-3412FE68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39984"/>
        <c:axId val="578340400"/>
      </c:lineChart>
      <c:catAx>
        <c:axId val="57833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gradFill flip="none" rotWithShape="1">
            <a:gsLst>
              <a:gs pos="93000">
                <a:srgbClr val="D7DEEA"/>
              </a:gs>
              <a:gs pos="4000">
                <a:schemeClr val="bg2"/>
              </a:gs>
            </a:gsLst>
            <a:lin ang="2700000" scaled="1"/>
            <a:tileRect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D3D3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40400"/>
        <c:crosses val="autoZero"/>
        <c:auto val="1"/>
        <c:lblAlgn val="ctr"/>
        <c:lblOffset val="100"/>
        <c:noMultiLvlLbl val="0"/>
      </c:catAx>
      <c:valAx>
        <c:axId val="57834040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D3D3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3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81644</xdr:colOff>
      <xdr:row>27</xdr:row>
      <xdr:rowOff>263977</xdr:rowOff>
    </xdr:from>
    <xdr:to>
      <xdr:col>11</xdr:col>
      <xdr:colOff>789216</xdr:colOff>
      <xdr:row>48</xdr:row>
      <xdr:rowOff>78919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C8D869C-667F-4086-9F7E-8586886EA929}"/>
            </a:ext>
          </a:extLst>
        </xdr:cNvPr>
        <xdr:cNvSpPr/>
      </xdr:nvSpPr>
      <xdr:spPr>
        <a:xfrm>
          <a:off x="725715" y="9081406"/>
          <a:ext cx="12146644" cy="6101442"/>
        </a:xfrm>
        <a:prstGeom prst="roundRect">
          <a:avLst>
            <a:gd name="adj" fmla="val 4707"/>
          </a:avLst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63500" sx="101000" sy="101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485774</xdr:colOff>
      <xdr:row>27</xdr:row>
      <xdr:rowOff>171450</xdr:rowOff>
    </xdr:from>
    <xdr:to>
      <xdr:col>11</xdr:col>
      <xdr:colOff>707571</xdr:colOff>
      <xdr:row>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BB9E1-8A46-4589-9C93-FA57809C5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635000</xdr:colOff>
      <xdr:row>1</xdr:row>
      <xdr:rowOff>12700</xdr:rowOff>
    </xdr:from>
    <xdr:to>
      <xdr:col>9</xdr:col>
      <xdr:colOff>1028700</xdr:colOff>
      <xdr:row>2</xdr:row>
      <xdr:rowOff>247650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65B07E-23B9-4F0B-AE8F-FFA12334529B}"/>
            </a:ext>
          </a:extLst>
        </xdr:cNvPr>
        <xdr:cNvSpPr txBox="1"/>
      </xdr:nvSpPr>
      <xdr:spPr>
        <a:xfrm>
          <a:off x="1885950" y="311150"/>
          <a:ext cx="7042150" cy="5334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QUARTERLY CAR SALES TIME SERIES ANALYSIS &amp; FORECASTING</a:t>
          </a:r>
        </a:p>
      </xdr:txBody>
    </xdr:sp>
    <xdr:clientData/>
  </xdr:twoCellAnchor>
  <xdr:twoCellAnchor>
    <xdr:from>
      <xdr:col>1</xdr:col>
      <xdr:colOff>158750</xdr:colOff>
      <xdr:row>2</xdr:row>
      <xdr:rowOff>234950</xdr:rowOff>
    </xdr:from>
    <xdr:to>
      <xdr:col>4</xdr:col>
      <xdr:colOff>146050</xdr:colOff>
      <xdr:row>3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3FC67C-D275-4F3F-8BCF-EE00E265632E}"/>
            </a:ext>
          </a:extLst>
        </xdr:cNvPr>
        <xdr:cNvSpPr txBox="1"/>
      </xdr:nvSpPr>
      <xdr:spPr>
        <a:xfrm>
          <a:off x="800100" y="831850"/>
          <a:ext cx="2806700" cy="463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/>
            <a:t>MAIN TIME-SERIES ANALYSIS</a:t>
          </a:r>
        </a:p>
      </xdr:txBody>
    </xdr:sp>
    <xdr:clientData/>
  </xdr:twoCellAnchor>
  <xdr:twoCellAnchor>
    <xdr:from>
      <xdr:col>5</xdr:col>
      <xdr:colOff>70758</xdr:colOff>
      <xdr:row>26</xdr:row>
      <xdr:rowOff>591458</xdr:rowOff>
    </xdr:from>
    <xdr:to>
      <xdr:col>8</xdr:col>
      <xdr:colOff>907142</xdr:colOff>
      <xdr:row>28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1495C-2D5B-4DB1-88EF-FF2B7552E315}"/>
            </a:ext>
          </a:extLst>
        </xdr:cNvPr>
        <xdr:cNvSpPr txBox="1"/>
      </xdr:nvSpPr>
      <xdr:spPr>
        <a:xfrm>
          <a:off x="4815115" y="8601529"/>
          <a:ext cx="4637313" cy="534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Quarterly Car Sales: Historical and Forecast Trend</a:t>
          </a:r>
        </a:p>
      </xdr:txBody>
    </xdr:sp>
    <xdr:clientData/>
  </xdr:twoCellAnchor>
  <xdr:twoCellAnchor>
    <xdr:from>
      <xdr:col>12</xdr:col>
      <xdr:colOff>501650</xdr:colOff>
      <xdr:row>2</xdr:row>
      <xdr:rowOff>450850</xdr:rowOff>
    </xdr:from>
    <xdr:to>
      <xdr:col>15</xdr:col>
      <xdr:colOff>489858</xdr:colOff>
      <xdr:row>4</xdr:row>
      <xdr:rowOff>87993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7330BE-5DB8-4A4B-A5F9-D407939A0796}"/>
            </a:ext>
          </a:extLst>
        </xdr:cNvPr>
        <xdr:cNvSpPr txBox="1"/>
      </xdr:nvSpPr>
      <xdr:spPr>
        <a:xfrm>
          <a:off x="13546364" y="1049564"/>
          <a:ext cx="3362780" cy="462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YEAR 5 FORECAST SUMMARY</a:t>
          </a:r>
        </a:p>
      </xdr:txBody>
    </xdr:sp>
    <xdr:clientData/>
  </xdr:twoCellAnchor>
  <xdr:twoCellAnchor>
    <xdr:from>
      <xdr:col>9</xdr:col>
      <xdr:colOff>0</xdr:colOff>
      <xdr:row>26</xdr:row>
      <xdr:rowOff>217715</xdr:rowOff>
    </xdr:from>
    <xdr:to>
      <xdr:col>10</xdr:col>
      <xdr:colOff>569686</xdr:colOff>
      <xdr:row>26</xdr:row>
      <xdr:rowOff>752022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D4F22C9-DAA5-4379-9332-45773D9EDE37}"/>
            </a:ext>
          </a:extLst>
        </xdr:cNvPr>
        <xdr:cNvSpPr txBox="1"/>
      </xdr:nvSpPr>
      <xdr:spPr>
        <a:xfrm>
          <a:off x="9906000" y="8227786"/>
          <a:ext cx="2102757" cy="534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Year 5 Forecast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4906-52A6-4601-AF85-6EE5818B4BAF}">
  <dimension ref="A1:U69"/>
  <sheetViews>
    <sheetView showGridLines="0" tabSelected="1" topLeftCell="E13" zoomScale="70" zoomScaleNormal="70" workbookViewId="0">
      <selection activeCell="T22" sqref="T22"/>
    </sheetView>
  </sheetViews>
  <sheetFormatPr defaultRowHeight="23.5" customHeight="1" x14ac:dyDescent="0.35"/>
  <cols>
    <col min="1" max="1" width="9.1796875" style="20"/>
    <col min="3" max="3" width="15.1796875" style="3" customWidth="1"/>
    <col min="4" max="4" width="16.453125" style="3" customWidth="1"/>
    <col min="5" max="5" width="18.26953125" style="6" customWidth="1"/>
    <col min="6" max="6" width="15.7265625" style="3" customWidth="1"/>
    <col min="7" max="7" width="11.81640625" style="3" customWidth="1"/>
    <col min="8" max="8" width="26.90625" style="3" customWidth="1"/>
    <col min="9" max="9" width="19.453125" style="3" customWidth="1"/>
    <col min="10" max="10" width="21.90625" style="3" customWidth="1"/>
    <col min="11" max="11" width="9.1796875" style="3"/>
    <col min="12" max="12" width="13.7265625" style="23" customWidth="1"/>
    <col min="14" max="14" width="19.08984375" customWidth="1"/>
    <col min="15" max="15" width="20.453125" customWidth="1"/>
    <col min="16" max="16" width="10.6328125" style="20" customWidth="1"/>
    <col min="21" max="21" width="9.1796875" style="39"/>
  </cols>
  <sheetData>
    <row r="1" spans="1:21" s="31" customFormat="1" ht="23.5" customHeight="1" x14ac:dyDescent="0.35">
      <c r="A1" s="30"/>
      <c r="C1" s="32"/>
      <c r="D1" s="32"/>
      <c r="E1" s="33"/>
      <c r="F1" s="32"/>
      <c r="G1" s="32"/>
      <c r="H1" s="32"/>
      <c r="I1" s="32"/>
      <c r="J1" s="32"/>
      <c r="K1" s="32"/>
      <c r="L1" s="34"/>
      <c r="P1" s="30"/>
      <c r="U1" s="39"/>
    </row>
    <row r="2" spans="1:21" s="5" customFormat="1" ht="23.5" customHeight="1" x14ac:dyDescent="0.55000000000000004">
      <c r="A2" s="21"/>
      <c r="C2" s="87"/>
      <c r="D2" s="87"/>
      <c r="E2" s="87"/>
      <c r="F2" s="87"/>
      <c r="G2" s="8"/>
      <c r="H2" s="8"/>
      <c r="I2" s="8"/>
      <c r="J2" s="8"/>
      <c r="K2" s="8"/>
      <c r="L2" s="24"/>
      <c r="P2" s="21"/>
      <c r="U2" s="92"/>
    </row>
    <row r="3" spans="1:21" ht="41.5" customHeight="1" x14ac:dyDescent="0.35"/>
    <row r="4" spans="1:21" s="4" customFormat="1" ht="23.5" customHeight="1" x14ac:dyDescent="0.35">
      <c r="A4" s="48"/>
      <c r="B4" s="50"/>
      <c r="C4" s="51"/>
      <c r="D4" s="51"/>
      <c r="E4" s="52"/>
      <c r="F4" s="51"/>
      <c r="G4" s="51"/>
      <c r="H4" s="51"/>
      <c r="I4" s="51"/>
      <c r="J4" s="52"/>
      <c r="K4" s="51"/>
      <c r="L4" s="53"/>
      <c r="P4" s="48"/>
      <c r="U4" s="93"/>
    </row>
    <row r="5" spans="1:21" s="7" customFormat="1" ht="23.5" customHeight="1" x14ac:dyDescent="0.35">
      <c r="A5" s="22"/>
      <c r="B5" s="76" t="s">
        <v>36</v>
      </c>
      <c r="C5" s="76" t="s">
        <v>37</v>
      </c>
      <c r="D5" s="76" t="s">
        <v>38</v>
      </c>
      <c r="E5" s="77" t="s">
        <v>39</v>
      </c>
      <c r="F5" s="76" t="s">
        <v>5</v>
      </c>
      <c r="G5" s="76" t="s">
        <v>6</v>
      </c>
      <c r="H5" s="76" t="s">
        <v>53</v>
      </c>
      <c r="I5" s="76" t="s">
        <v>40</v>
      </c>
      <c r="J5" s="76" t="s">
        <v>41</v>
      </c>
      <c r="K5" s="76" t="s">
        <v>42</v>
      </c>
      <c r="L5" s="78" t="s">
        <v>43</v>
      </c>
      <c r="N5" s="85" t="s">
        <v>38</v>
      </c>
      <c r="O5" s="85" t="s">
        <v>45</v>
      </c>
      <c r="P5" s="94"/>
      <c r="U5" s="93"/>
    </row>
    <row r="6" spans="1:21" ht="23.5" customHeight="1" x14ac:dyDescent="0.35">
      <c r="B6" s="54">
        <v>1</v>
      </c>
      <c r="C6" s="54" t="s">
        <v>0</v>
      </c>
      <c r="D6" s="54">
        <v>1</v>
      </c>
      <c r="E6" s="55">
        <v>4.8</v>
      </c>
      <c r="F6" s="54"/>
      <c r="G6" s="54"/>
      <c r="H6" s="54"/>
      <c r="I6" s="56">
        <f t="shared" ref="I6:I21" si="0">VLOOKUP(D6,$G$52:$H$55,2,FALSE)</f>
        <v>0.93220047731596012</v>
      </c>
      <c r="J6" s="55">
        <f>E6/I6</f>
        <v>5.1491069966198779</v>
      </c>
      <c r="K6" s="56">
        <f t="shared" ref="K6:K21" si="1">$D$66+$D$67*B6</f>
        <v>5.2467488107686799</v>
      </c>
      <c r="L6" s="57">
        <f>I6*K6</f>
        <v>4.8910217457555092</v>
      </c>
      <c r="N6" s="81">
        <v>1</v>
      </c>
      <c r="O6" s="81">
        <v>7.09</v>
      </c>
      <c r="P6" s="95"/>
    </row>
    <row r="7" spans="1:21" ht="23.5" customHeight="1" x14ac:dyDescent="0.35">
      <c r="B7" s="54">
        <v>2</v>
      </c>
      <c r="C7" s="54"/>
      <c r="D7" s="54">
        <v>2</v>
      </c>
      <c r="E7" s="55">
        <v>4.0999999999999996</v>
      </c>
      <c r="F7" s="54"/>
      <c r="G7" s="54"/>
      <c r="H7" s="54"/>
      <c r="I7" s="56">
        <f t="shared" si="0"/>
        <v>0.83775920424985417</v>
      </c>
      <c r="J7" s="55">
        <f t="shared" ref="J7:J21" si="2">E7/I7</f>
        <v>4.8940077043632355</v>
      </c>
      <c r="K7" s="56">
        <f t="shared" si="1"/>
        <v>5.3938875266288564</v>
      </c>
      <c r="L7" s="57">
        <f t="shared" ref="L7:L26" si="3">I7*K7</f>
        <v>4.5187789221218049</v>
      </c>
      <c r="N7" s="81">
        <v>2</v>
      </c>
      <c r="O7" s="81">
        <v>6.49</v>
      </c>
      <c r="P7" s="95"/>
    </row>
    <row r="8" spans="1:21" ht="23.5" customHeight="1" x14ac:dyDescent="0.35">
      <c r="B8" s="54">
        <v>3</v>
      </c>
      <c r="C8" s="54"/>
      <c r="D8" s="54">
        <v>3</v>
      </c>
      <c r="E8" s="55">
        <v>6</v>
      </c>
      <c r="F8" s="55">
        <f>AVERAGE(E6:E9)</f>
        <v>5.35</v>
      </c>
      <c r="G8" s="55">
        <f>AVERAGE(F8:F9)</f>
        <v>5.4749999999999996</v>
      </c>
      <c r="H8" s="56">
        <f>E8/G8</f>
        <v>1.0958904109589043</v>
      </c>
      <c r="I8" s="56">
        <f t="shared" si="0"/>
        <v>1.0933488421606843</v>
      </c>
      <c r="J8" s="55">
        <f t="shared" si="2"/>
        <v>5.4877270351727399</v>
      </c>
      <c r="K8" s="56">
        <f t="shared" si="1"/>
        <v>5.5410262424890329</v>
      </c>
      <c r="L8" s="57">
        <f t="shared" si="3"/>
        <v>6.0582746266073508</v>
      </c>
      <c r="N8" s="81">
        <v>3</v>
      </c>
      <c r="O8" s="81">
        <v>8.6300000000000008</v>
      </c>
      <c r="P8" s="95"/>
    </row>
    <row r="9" spans="1:21" ht="23.5" customHeight="1" x14ac:dyDescent="0.35">
      <c r="B9" s="54">
        <v>4</v>
      </c>
      <c r="C9" s="54"/>
      <c r="D9" s="54">
        <v>4</v>
      </c>
      <c r="E9" s="55">
        <v>6.5</v>
      </c>
      <c r="F9" s="55">
        <f t="shared" ref="F9:F19" si="4">AVERAGE(E7:E10)</f>
        <v>5.6000000000000005</v>
      </c>
      <c r="G9" s="55">
        <f t="shared" ref="G9:G19" si="5">AVERAGE(F9:F10)</f>
        <v>5.7375000000000007</v>
      </c>
      <c r="H9" s="56">
        <f t="shared" ref="H9:H19" si="6">E9/G9</f>
        <v>1.1328976034858387</v>
      </c>
      <c r="I9" s="56">
        <f t="shared" si="0"/>
        <v>1.1433051426610321</v>
      </c>
      <c r="J9" s="55">
        <f t="shared" si="2"/>
        <v>5.6852713745967334</v>
      </c>
      <c r="K9" s="56">
        <f t="shared" si="1"/>
        <v>5.6881649583492093</v>
      </c>
      <c r="L9" s="57">
        <f t="shared" si="3"/>
        <v>6.5033082491849266</v>
      </c>
      <c r="N9" s="81">
        <v>4</v>
      </c>
      <c r="O9" s="81">
        <v>9.19</v>
      </c>
      <c r="P9" s="95"/>
    </row>
    <row r="10" spans="1:21" ht="23.5" customHeight="1" x14ac:dyDescent="0.35">
      <c r="B10" s="54">
        <v>5</v>
      </c>
      <c r="C10" s="54" t="s">
        <v>1</v>
      </c>
      <c r="D10" s="54">
        <v>1</v>
      </c>
      <c r="E10" s="55">
        <v>5.8</v>
      </c>
      <c r="F10" s="55">
        <f t="shared" si="4"/>
        <v>5.875</v>
      </c>
      <c r="G10" s="55">
        <f t="shared" si="5"/>
        <v>5.9749999999999996</v>
      </c>
      <c r="H10" s="56">
        <f t="shared" si="6"/>
        <v>0.97071129707112969</v>
      </c>
      <c r="I10" s="56">
        <f t="shared" si="0"/>
        <v>0.93220047731596012</v>
      </c>
      <c r="J10" s="55">
        <f t="shared" si="2"/>
        <v>6.2218376209156858</v>
      </c>
      <c r="K10" s="56">
        <f t="shared" si="1"/>
        <v>5.8353036742093867</v>
      </c>
      <c r="L10" s="57">
        <f t="shared" si="3"/>
        <v>5.4396728703815658</v>
      </c>
    </row>
    <row r="11" spans="1:21" ht="23.5" customHeight="1" x14ac:dyDescent="0.35">
      <c r="B11" s="54">
        <v>6</v>
      </c>
      <c r="C11" s="54"/>
      <c r="D11" s="54">
        <v>2</v>
      </c>
      <c r="E11" s="55">
        <v>5.2</v>
      </c>
      <c r="F11" s="55">
        <f t="shared" si="4"/>
        <v>6.0750000000000002</v>
      </c>
      <c r="G11" s="55">
        <f t="shared" si="5"/>
        <v>6.1875</v>
      </c>
      <c r="H11" s="56">
        <f t="shared" si="6"/>
        <v>0.84040404040404049</v>
      </c>
      <c r="I11" s="56">
        <f t="shared" si="0"/>
        <v>0.83775920424985417</v>
      </c>
      <c r="J11" s="55">
        <f t="shared" si="2"/>
        <v>6.2070341616314213</v>
      </c>
      <c r="K11" s="56">
        <f t="shared" si="1"/>
        <v>5.9824423900695631</v>
      </c>
      <c r="L11" s="57">
        <f t="shared" si="3"/>
        <v>5.0118461761752728</v>
      </c>
    </row>
    <row r="12" spans="1:21" ht="23.5" customHeight="1" x14ac:dyDescent="0.35">
      <c r="B12" s="54">
        <v>7</v>
      </c>
      <c r="C12" s="54"/>
      <c r="D12" s="54">
        <v>3</v>
      </c>
      <c r="E12" s="55">
        <v>6.8</v>
      </c>
      <c r="F12" s="55">
        <f t="shared" si="4"/>
        <v>6.3000000000000007</v>
      </c>
      <c r="G12" s="55">
        <f t="shared" si="5"/>
        <v>6.3250000000000002</v>
      </c>
      <c r="H12" s="56">
        <f t="shared" si="6"/>
        <v>1.075098814229249</v>
      </c>
      <c r="I12" s="56">
        <f t="shared" si="0"/>
        <v>1.0933488421606843</v>
      </c>
      <c r="J12" s="55">
        <f t="shared" si="2"/>
        <v>6.2194239731957719</v>
      </c>
      <c r="K12" s="56">
        <f t="shared" si="1"/>
        <v>6.1295811059297396</v>
      </c>
      <c r="L12" s="57">
        <f t="shared" si="3"/>
        <v>6.7017704050982871</v>
      </c>
    </row>
    <row r="13" spans="1:21" ht="23.5" customHeight="1" x14ac:dyDescent="0.45">
      <c r="B13" s="54">
        <v>8</v>
      </c>
      <c r="C13" s="54"/>
      <c r="D13" s="54">
        <v>4</v>
      </c>
      <c r="E13" s="55">
        <v>7.4</v>
      </c>
      <c r="F13" s="55">
        <f t="shared" si="4"/>
        <v>6.35</v>
      </c>
      <c r="G13" s="55">
        <f t="shared" si="5"/>
        <v>6.3999999999999995</v>
      </c>
      <c r="H13" s="56">
        <f t="shared" si="6"/>
        <v>1.1562500000000002</v>
      </c>
      <c r="I13" s="56">
        <f t="shared" si="0"/>
        <v>1.1433051426610321</v>
      </c>
      <c r="J13" s="55">
        <f t="shared" si="2"/>
        <v>6.4724627956947423</v>
      </c>
      <c r="K13" s="56">
        <f t="shared" si="1"/>
        <v>6.2767198217899161</v>
      </c>
      <c r="L13" s="57">
        <f t="shared" si="3"/>
        <v>7.176206051294848</v>
      </c>
      <c r="N13" s="89" t="s">
        <v>46</v>
      </c>
      <c r="O13" s="89"/>
      <c r="P13" s="86"/>
    </row>
    <row r="14" spans="1:21" ht="23.5" customHeight="1" x14ac:dyDescent="0.35">
      <c r="B14" s="54">
        <v>9</v>
      </c>
      <c r="C14" s="54" t="s">
        <v>2</v>
      </c>
      <c r="D14" s="54">
        <v>1</v>
      </c>
      <c r="E14" s="55">
        <v>6</v>
      </c>
      <c r="F14" s="55">
        <f t="shared" si="4"/>
        <v>6.4499999999999993</v>
      </c>
      <c r="G14" s="55">
        <f t="shared" si="5"/>
        <v>6.5374999999999996</v>
      </c>
      <c r="H14" s="56">
        <f t="shared" si="6"/>
        <v>0.91778202676864251</v>
      </c>
      <c r="I14" s="56">
        <f t="shared" si="0"/>
        <v>0.93220047731596012</v>
      </c>
      <c r="J14" s="55">
        <f t="shared" si="2"/>
        <v>6.4363837457748474</v>
      </c>
      <c r="K14" s="56">
        <f t="shared" si="1"/>
        <v>6.4238585376500925</v>
      </c>
      <c r="L14" s="57">
        <f t="shared" si="3"/>
        <v>5.9883239950076215</v>
      </c>
      <c r="N14" s="84" t="s">
        <v>47</v>
      </c>
      <c r="O14" s="84" t="s">
        <v>48</v>
      </c>
      <c r="P14" s="96"/>
    </row>
    <row r="15" spans="1:21" ht="23.5" customHeight="1" x14ac:dyDescent="0.35">
      <c r="B15" s="54">
        <v>10</v>
      </c>
      <c r="C15" s="54"/>
      <c r="D15" s="54">
        <v>2</v>
      </c>
      <c r="E15" s="55">
        <v>5.6</v>
      </c>
      <c r="F15" s="55">
        <f t="shared" si="4"/>
        <v>6.625</v>
      </c>
      <c r="G15" s="55">
        <f t="shared" si="5"/>
        <v>6.6750000000000007</v>
      </c>
      <c r="H15" s="56">
        <f t="shared" si="6"/>
        <v>0.83895131086142305</v>
      </c>
      <c r="I15" s="56">
        <f t="shared" si="0"/>
        <v>0.83775920424985417</v>
      </c>
      <c r="J15" s="55">
        <f t="shared" si="2"/>
        <v>6.6844983279107604</v>
      </c>
      <c r="K15" s="56">
        <f t="shared" si="1"/>
        <v>6.570997253510269</v>
      </c>
      <c r="L15" s="57">
        <f t="shared" si="3"/>
        <v>5.5049134302287399</v>
      </c>
      <c r="N15" s="81" t="s">
        <v>49</v>
      </c>
      <c r="O15" s="81">
        <v>0.92100000000000004</v>
      </c>
      <c r="P15" s="97"/>
    </row>
    <row r="16" spans="1:21" ht="23.5" customHeight="1" x14ac:dyDescent="0.35">
      <c r="B16" s="54">
        <v>11</v>
      </c>
      <c r="C16" s="54"/>
      <c r="D16" s="54">
        <v>3</v>
      </c>
      <c r="E16" s="55">
        <v>7.5</v>
      </c>
      <c r="F16" s="55">
        <f>AVERAGE(E14:E17)</f>
        <v>6.7250000000000005</v>
      </c>
      <c r="G16" s="55">
        <f t="shared" si="5"/>
        <v>6.7625000000000002</v>
      </c>
      <c r="H16" s="56">
        <f t="shared" si="6"/>
        <v>1.1090573012939002</v>
      </c>
      <c r="I16" s="56">
        <f t="shared" si="0"/>
        <v>1.0933488421606843</v>
      </c>
      <c r="J16" s="55">
        <f t="shared" si="2"/>
        <v>6.8596587939659246</v>
      </c>
      <c r="K16" s="56">
        <f t="shared" si="1"/>
        <v>6.7181359693704454</v>
      </c>
      <c r="L16" s="57">
        <f t="shared" si="3"/>
        <v>7.3452661835892226</v>
      </c>
      <c r="N16" s="81" t="s">
        <v>50</v>
      </c>
      <c r="O16" s="81">
        <v>0.14699999999999999</v>
      </c>
      <c r="P16" s="97"/>
    </row>
    <row r="17" spans="2:16" ht="23.5" customHeight="1" x14ac:dyDescent="0.35">
      <c r="B17" s="54">
        <v>12</v>
      </c>
      <c r="C17" s="54"/>
      <c r="D17" s="54">
        <v>4</v>
      </c>
      <c r="E17" s="55">
        <v>7.8</v>
      </c>
      <c r="F17" s="55">
        <f t="shared" si="4"/>
        <v>6.8</v>
      </c>
      <c r="G17" s="55">
        <f t="shared" si="5"/>
        <v>6.8375000000000004</v>
      </c>
      <c r="H17" s="56">
        <f t="shared" si="6"/>
        <v>1.1407678244972577</v>
      </c>
      <c r="I17" s="56">
        <f t="shared" si="0"/>
        <v>1.1433051426610321</v>
      </c>
      <c r="J17" s="55">
        <f t="shared" si="2"/>
        <v>6.8223256495160793</v>
      </c>
      <c r="K17" s="56">
        <f t="shared" si="1"/>
        <v>6.8652746852306219</v>
      </c>
      <c r="L17" s="57">
        <f t="shared" si="3"/>
        <v>7.8491038534047686</v>
      </c>
      <c r="N17" s="81" t="s">
        <v>20</v>
      </c>
      <c r="O17" s="81">
        <v>5.0999999999999996</v>
      </c>
      <c r="P17" s="97"/>
    </row>
    <row r="18" spans="2:16" ht="23.5" customHeight="1" x14ac:dyDescent="0.35">
      <c r="B18" s="54">
        <v>13</v>
      </c>
      <c r="C18" s="54" t="s">
        <v>3</v>
      </c>
      <c r="D18" s="54">
        <v>1</v>
      </c>
      <c r="E18" s="55">
        <v>6.3</v>
      </c>
      <c r="F18" s="55">
        <f t="shared" si="4"/>
        <v>6.875</v>
      </c>
      <c r="G18" s="55">
        <f t="shared" si="5"/>
        <v>6.9375</v>
      </c>
      <c r="H18" s="56">
        <f t="shared" si="6"/>
        <v>0.90810810810810805</v>
      </c>
      <c r="I18" s="56">
        <f t="shared" si="0"/>
        <v>0.93220047731596012</v>
      </c>
      <c r="J18" s="55">
        <f t="shared" si="2"/>
        <v>6.7582029330635898</v>
      </c>
      <c r="K18" s="56">
        <f t="shared" si="1"/>
        <v>7.0124134010907984</v>
      </c>
      <c r="L18" s="57">
        <f t="shared" si="3"/>
        <v>6.5369751196336772</v>
      </c>
      <c r="N18" s="81" t="s">
        <v>15</v>
      </c>
      <c r="O18" s="81">
        <v>16</v>
      </c>
      <c r="P18" s="97"/>
    </row>
    <row r="19" spans="2:16" ht="23.5" customHeight="1" x14ac:dyDescent="0.35">
      <c r="B19" s="54">
        <v>14</v>
      </c>
      <c r="C19" s="54"/>
      <c r="D19" s="54">
        <v>2</v>
      </c>
      <c r="E19" s="55">
        <v>5.9</v>
      </c>
      <c r="F19" s="55">
        <f t="shared" si="4"/>
        <v>7</v>
      </c>
      <c r="G19" s="55">
        <f t="shared" si="5"/>
        <v>7.0750000000000002</v>
      </c>
      <c r="H19" s="56">
        <f t="shared" si="6"/>
        <v>0.83392226148409898</v>
      </c>
      <c r="I19" s="56">
        <f t="shared" si="0"/>
        <v>0.83775920424985417</v>
      </c>
      <c r="J19" s="55">
        <f t="shared" si="2"/>
        <v>7.0425964526202662</v>
      </c>
      <c r="K19" s="56">
        <f t="shared" si="1"/>
        <v>7.1595521169509748</v>
      </c>
      <c r="L19" s="57">
        <f t="shared" si="3"/>
        <v>5.9979806842822079</v>
      </c>
      <c r="N19" s="80"/>
      <c r="O19" s="80"/>
      <c r="P19" s="97"/>
    </row>
    <row r="20" spans="2:16" ht="23.5" customHeight="1" x14ac:dyDescent="0.35">
      <c r="B20" s="54">
        <v>15</v>
      </c>
      <c r="C20" s="54"/>
      <c r="D20" s="54">
        <v>3</v>
      </c>
      <c r="E20" s="55">
        <v>8</v>
      </c>
      <c r="F20" s="55">
        <f>AVERAGE(E18:E21)</f>
        <v>7.15</v>
      </c>
      <c r="G20" s="55"/>
      <c r="H20" s="54"/>
      <c r="I20" s="56">
        <f t="shared" si="0"/>
        <v>1.0933488421606843</v>
      </c>
      <c r="J20" s="55">
        <f t="shared" si="2"/>
        <v>7.3169693802303195</v>
      </c>
      <c r="K20" s="56">
        <f t="shared" si="1"/>
        <v>7.3066908328111513</v>
      </c>
      <c r="L20" s="57">
        <f t="shared" si="3"/>
        <v>7.988761962080158</v>
      </c>
    </row>
    <row r="21" spans="2:16" ht="23.5" customHeight="1" x14ac:dyDescent="0.35">
      <c r="B21" s="54">
        <v>16</v>
      </c>
      <c r="C21" s="54"/>
      <c r="D21" s="54">
        <v>4</v>
      </c>
      <c r="E21" s="55">
        <v>8.4</v>
      </c>
      <c r="F21" s="55"/>
      <c r="G21" s="55"/>
      <c r="H21" s="54"/>
      <c r="I21" s="56">
        <f t="shared" si="0"/>
        <v>1.1433051426610321</v>
      </c>
      <c r="J21" s="55">
        <f t="shared" si="2"/>
        <v>7.3471199302480859</v>
      </c>
      <c r="K21" s="56">
        <f t="shared" si="1"/>
        <v>7.4538295486713277</v>
      </c>
      <c r="L21" s="57">
        <f t="shared" si="3"/>
        <v>8.5220016555146891</v>
      </c>
    </row>
    <row r="22" spans="2:16" ht="23.5" customHeight="1" x14ac:dyDescent="0.45">
      <c r="B22" s="54"/>
      <c r="C22" s="54"/>
      <c r="D22" s="54"/>
      <c r="E22" s="55"/>
      <c r="F22" s="88" t="s">
        <v>44</v>
      </c>
      <c r="G22" s="88"/>
      <c r="H22" s="88"/>
      <c r="I22" s="56"/>
      <c r="J22" s="55"/>
      <c r="K22" s="56"/>
      <c r="L22" s="57"/>
      <c r="N22" s="90" t="s">
        <v>52</v>
      </c>
      <c r="O22" s="91"/>
    </row>
    <row r="23" spans="2:16" ht="23.5" customHeight="1" x14ac:dyDescent="0.35">
      <c r="B23" s="58">
        <v>17</v>
      </c>
      <c r="C23" s="59" t="s">
        <v>33</v>
      </c>
      <c r="D23" s="59">
        <v>1</v>
      </c>
      <c r="E23" s="60"/>
      <c r="F23" s="59"/>
      <c r="G23" s="59"/>
      <c r="H23" s="59"/>
      <c r="I23" s="61">
        <f>VLOOKUP(D23,$G$52:$H$55,2,FALSE)</f>
        <v>0.93220047731596012</v>
      </c>
      <c r="J23" s="59"/>
      <c r="K23" s="62">
        <f>$D$66+$D$67*B23</f>
        <v>7.6009682645315042</v>
      </c>
      <c r="L23" s="63">
        <f t="shared" si="3"/>
        <v>7.0856262442597329</v>
      </c>
      <c r="N23" s="83" t="s">
        <v>38</v>
      </c>
      <c r="O23" s="83" t="s">
        <v>51</v>
      </c>
      <c r="P23" s="98"/>
    </row>
    <row r="24" spans="2:16" ht="23.5" customHeight="1" x14ac:dyDescent="0.35">
      <c r="B24" s="64">
        <v>18</v>
      </c>
      <c r="C24" s="65"/>
      <c r="D24" s="65">
        <v>2</v>
      </c>
      <c r="E24" s="66"/>
      <c r="F24" s="65"/>
      <c r="G24" s="65"/>
      <c r="H24" s="65"/>
      <c r="I24" s="67">
        <f>VLOOKUP(D24,$G$52:$H$55,2,FALSE)</f>
        <v>0.83775920424985417</v>
      </c>
      <c r="J24" s="65"/>
      <c r="K24" s="68">
        <f>$D$66+$D$67*B24</f>
        <v>7.7481069803916807</v>
      </c>
      <c r="L24" s="69">
        <f t="shared" si="3"/>
        <v>6.4910479383356749</v>
      </c>
      <c r="N24" s="82">
        <v>1</v>
      </c>
      <c r="O24" s="82">
        <v>0.93220000000000003</v>
      </c>
      <c r="P24" s="97"/>
    </row>
    <row r="25" spans="2:16" ht="23.5" customHeight="1" x14ac:dyDescent="0.35">
      <c r="B25" s="64">
        <v>19</v>
      </c>
      <c r="C25" s="65"/>
      <c r="D25" s="65">
        <v>3</v>
      </c>
      <c r="E25" s="66"/>
      <c r="F25" s="65"/>
      <c r="G25" s="65"/>
      <c r="H25" s="65"/>
      <c r="I25" s="67">
        <f>VLOOKUP(D25,$G$52:$H$55,2,FALSE)</f>
        <v>1.0933488421606843</v>
      </c>
      <c r="J25" s="65"/>
      <c r="K25" s="68">
        <f>$D$66+$D$67*B25</f>
        <v>7.895245696251858</v>
      </c>
      <c r="L25" s="69">
        <f t="shared" si="3"/>
        <v>8.6322577405710952</v>
      </c>
      <c r="N25" s="82">
        <v>2</v>
      </c>
      <c r="O25" s="82">
        <v>0.83779999999999999</v>
      </c>
      <c r="P25" s="97"/>
    </row>
    <row r="26" spans="2:16" ht="23.5" customHeight="1" x14ac:dyDescent="0.35">
      <c r="B26" s="70">
        <v>20</v>
      </c>
      <c r="C26" s="71"/>
      <c r="D26" s="71">
        <v>4</v>
      </c>
      <c r="E26" s="72"/>
      <c r="F26" s="71"/>
      <c r="G26" s="71"/>
      <c r="H26" s="71"/>
      <c r="I26" s="73">
        <f>VLOOKUP(D26,$G$52:$H$55,2,FALSE)</f>
        <v>1.1433051426610321</v>
      </c>
      <c r="J26" s="71"/>
      <c r="K26" s="74">
        <f>$D$66+$D$67*B26</f>
        <v>8.0423844121120354</v>
      </c>
      <c r="L26" s="75">
        <f t="shared" si="3"/>
        <v>9.1948994576246115</v>
      </c>
      <c r="N26" s="82">
        <v>3</v>
      </c>
      <c r="O26" s="82">
        <v>1.0932999999999999</v>
      </c>
      <c r="P26" s="97"/>
    </row>
    <row r="27" spans="2:16" ht="63.5" customHeight="1" x14ac:dyDescent="0.35">
      <c r="B27" s="17"/>
      <c r="C27" s="18"/>
      <c r="D27" s="18"/>
      <c r="E27" s="19"/>
      <c r="F27" s="18"/>
      <c r="G27" s="18"/>
      <c r="H27" s="18"/>
      <c r="I27" s="18"/>
      <c r="J27" s="18"/>
      <c r="K27" s="18"/>
      <c r="L27" s="79">
        <f>SUM(L23:L26)</f>
        <v>31.403831380791114</v>
      </c>
      <c r="N27" s="82">
        <v>4</v>
      </c>
      <c r="O27" s="82">
        <v>1.1433</v>
      </c>
      <c r="P27" s="97"/>
    </row>
    <row r="50" spans="3:11" ht="23.5" customHeight="1" x14ac:dyDescent="0.35">
      <c r="C50" s="35" t="s">
        <v>9</v>
      </c>
      <c r="D50" s="36"/>
      <c r="E50" s="36"/>
      <c r="F50" s="36"/>
      <c r="G50" s="36" t="s">
        <v>34</v>
      </c>
      <c r="H50" s="49" t="s">
        <v>35</v>
      </c>
      <c r="I50" s="36"/>
      <c r="J50" s="36"/>
      <c r="K50" s="37"/>
    </row>
    <row r="51" spans="3:11" ht="23.5" customHeight="1" thickBot="1" x14ac:dyDescent="0.4">
      <c r="C51" s="38"/>
      <c r="D51" s="39"/>
      <c r="E51" s="39"/>
      <c r="F51" s="39"/>
      <c r="G51" s="9" t="s">
        <v>8</v>
      </c>
      <c r="H51" s="9" t="s">
        <v>7</v>
      </c>
      <c r="I51" s="39"/>
      <c r="J51" s="39"/>
      <c r="K51" s="20"/>
    </row>
    <row r="52" spans="3:11" ht="23.5" customHeight="1" x14ac:dyDescent="0.35">
      <c r="C52" s="40" t="s">
        <v>10</v>
      </c>
      <c r="D52" s="15"/>
      <c r="E52" s="39"/>
      <c r="F52" s="39"/>
      <c r="G52" s="10">
        <v>1</v>
      </c>
      <c r="H52" s="11">
        <f>AVERAGEIF($D$8:$D$19,G52,$H$8:$H$19)</f>
        <v>0.93220047731596012</v>
      </c>
      <c r="I52" s="39"/>
      <c r="J52" s="39"/>
      <c r="K52" s="20"/>
    </row>
    <row r="53" spans="3:11" ht="23.5" customHeight="1" x14ac:dyDescent="0.35">
      <c r="C53" s="41" t="s">
        <v>11</v>
      </c>
      <c r="D53" s="12">
        <v>0.95957861566189495</v>
      </c>
      <c r="E53" s="39"/>
      <c r="F53" s="39"/>
      <c r="G53" s="10">
        <v>2</v>
      </c>
      <c r="H53" s="11">
        <f t="shared" ref="H53:H55" si="7">AVERAGEIF($D$8:$D$19,G53,$H$8:$H$19)</f>
        <v>0.83775920424985417</v>
      </c>
      <c r="I53" s="39"/>
      <c r="J53" s="39"/>
      <c r="K53" s="20"/>
    </row>
    <row r="54" spans="3:11" ht="23.5" customHeight="1" x14ac:dyDescent="0.35">
      <c r="C54" s="41" t="s">
        <v>12</v>
      </c>
      <c r="D54" s="12">
        <v>0.92079111963559879</v>
      </c>
      <c r="E54" s="39"/>
      <c r="F54" s="39"/>
      <c r="G54" s="10">
        <v>3</v>
      </c>
      <c r="H54" s="11">
        <f t="shared" si="7"/>
        <v>1.0933488421606843</v>
      </c>
      <c r="I54" s="39"/>
      <c r="J54" s="39"/>
      <c r="K54" s="20"/>
    </row>
    <row r="55" spans="3:11" ht="23.5" customHeight="1" x14ac:dyDescent="0.35">
      <c r="C55" s="41" t="s">
        <v>13</v>
      </c>
      <c r="D55" s="12">
        <v>0.91513334246671296</v>
      </c>
      <c r="E55" s="39"/>
      <c r="F55" s="39"/>
      <c r="G55" s="10">
        <v>4</v>
      </c>
      <c r="H55" s="11">
        <f t="shared" si="7"/>
        <v>1.1433051426610321</v>
      </c>
      <c r="I55" s="39"/>
      <c r="J55" s="39"/>
      <c r="K55" s="20"/>
    </row>
    <row r="56" spans="3:11" ht="23.5" customHeight="1" x14ac:dyDescent="0.35">
      <c r="C56" s="41" t="s">
        <v>14</v>
      </c>
      <c r="D56" s="12">
        <v>0.21267124735157453</v>
      </c>
      <c r="E56" s="39"/>
      <c r="F56" s="39"/>
      <c r="G56" s="39"/>
      <c r="H56" s="39"/>
      <c r="I56" s="39"/>
      <c r="J56" s="39"/>
      <c r="K56" s="20"/>
    </row>
    <row r="57" spans="3:11" ht="23.5" customHeight="1" thickBot="1" x14ac:dyDescent="0.4">
      <c r="C57" s="42" t="s">
        <v>15</v>
      </c>
      <c r="D57" s="13">
        <v>16</v>
      </c>
      <c r="E57" s="39"/>
      <c r="F57" s="39"/>
      <c r="G57" s="39"/>
      <c r="H57" s="39"/>
      <c r="I57" s="39"/>
      <c r="J57" s="39"/>
      <c r="K57" s="20"/>
    </row>
    <row r="58" spans="3:11" ht="23.5" customHeight="1" x14ac:dyDescent="0.35">
      <c r="C58" s="38"/>
      <c r="D58" s="39"/>
      <c r="E58" s="39"/>
      <c r="F58" s="39"/>
      <c r="G58" s="39"/>
      <c r="H58" s="39"/>
      <c r="I58" s="39"/>
      <c r="J58" s="39"/>
      <c r="K58" s="20"/>
    </row>
    <row r="59" spans="3:11" ht="23.5" customHeight="1" thickBot="1" x14ac:dyDescent="0.4">
      <c r="C59" s="38" t="s">
        <v>16</v>
      </c>
      <c r="D59" s="39"/>
      <c r="E59" s="39"/>
      <c r="F59" s="39"/>
      <c r="G59" s="39"/>
      <c r="H59" s="39"/>
      <c r="I59" s="39"/>
      <c r="J59" s="39"/>
      <c r="K59" s="20"/>
    </row>
    <row r="60" spans="3:11" ht="23.5" customHeight="1" x14ac:dyDescent="0.35">
      <c r="C60" s="43"/>
      <c r="D60" s="14" t="s">
        <v>21</v>
      </c>
      <c r="E60" s="14" t="s">
        <v>22</v>
      </c>
      <c r="F60" s="14" t="s">
        <v>23</v>
      </c>
      <c r="G60" s="14" t="s">
        <v>24</v>
      </c>
      <c r="H60" s="14" t="s">
        <v>25</v>
      </c>
      <c r="I60" s="39"/>
      <c r="J60" s="39"/>
      <c r="K60" s="20"/>
    </row>
    <row r="61" spans="3:11" ht="23.5" customHeight="1" x14ac:dyDescent="0.35">
      <c r="C61" s="41" t="s">
        <v>17</v>
      </c>
      <c r="D61" s="12">
        <v>1</v>
      </c>
      <c r="E61" s="12">
        <v>7.3609325796938014</v>
      </c>
      <c r="F61" s="12">
        <v>7.3609325796938014</v>
      </c>
      <c r="G61" s="12">
        <v>162.74785877029026</v>
      </c>
      <c r="H61" s="12">
        <v>4.2477172966675832E-9</v>
      </c>
      <c r="I61" s="39"/>
      <c r="J61" s="39"/>
      <c r="K61" s="20"/>
    </row>
    <row r="62" spans="3:11" ht="23.5" customHeight="1" x14ac:dyDescent="0.35">
      <c r="C62" s="41" t="s">
        <v>18</v>
      </c>
      <c r="D62" s="12">
        <v>14</v>
      </c>
      <c r="E62" s="12">
        <v>0.63320683230104424</v>
      </c>
      <c r="F62" s="12">
        <v>4.5229059450074591E-2</v>
      </c>
      <c r="G62" s="12"/>
      <c r="H62" s="12"/>
      <c r="I62" s="39"/>
      <c r="J62" s="39"/>
      <c r="K62" s="20"/>
    </row>
    <row r="63" spans="3:11" ht="23.5" customHeight="1" thickBot="1" x14ac:dyDescent="0.4">
      <c r="C63" s="42" t="s">
        <v>19</v>
      </c>
      <c r="D63" s="13">
        <v>15</v>
      </c>
      <c r="E63" s="13">
        <v>7.9941394119948459</v>
      </c>
      <c r="F63" s="13"/>
      <c r="G63" s="13"/>
      <c r="H63" s="13"/>
      <c r="I63" s="39"/>
      <c r="J63" s="39"/>
      <c r="K63" s="20"/>
    </row>
    <row r="64" spans="3:11" ht="23.5" customHeight="1" thickBot="1" x14ac:dyDescent="0.4">
      <c r="C64" s="38"/>
      <c r="D64" s="39"/>
      <c r="E64" s="39"/>
      <c r="F64" s="39"/>
      <c r="G64" s="39"/>
      <c r="H64" s="39"/>
      <c r="I64" s="39"/>
      <c r="J64" s="39"/>
      <c r="K64" s="20"/>
    </row>
    <row r="65" spans="1:21" ht="23.5" customHeight="1" x14ac:dyDescent="0.35">
      <c r="C65" s="43"/>
      <c r="D65" s="14" t="s">
        <v>26</v>
      </c>
      <c r="E65" s="14" t="s">
        <v>14</v>
      </c>
      <c r="F65" s="14" t="s">
        <v>27</v>
      </c>
      <c r="G65" s="14" t="s">
        <v>28</v>
      </c>
      <c r="H65" s="14" t="s">
        <v>29</v>
      </c>
      <c r="I65" s="14" t="s">
        <v>30</v>
      </c>
      <c r="J65" s="14" t="s">
        <v>31</v>
      </c>
      <c r="K65" s="25" t="s">
        <v>32</v>
      </c>
    </row>
    <row r="66" spans="1:21" ht="23.5" customHeight="1" x14ac:dyDescent="0.35">
      <c r="C66" s="41" t="s">
        <v>20</v>
      </c>
      <c r="D66" s="16">
        <v>5.0996100949085035</v>
      </c>
      <c r="E66" s="12">
        <v>0.11152574298685712</v>
      </c>
      <c r="F66" s="12">
        <v>45.72585627615566</v>
      </c>
      <c r="G66" s="12">
        <v>1.2098663553872412E-16</v>
      </c>
      <c r="H66" s="12">
        <v>4.8604111659901497</v>
      </c>
      <c r="I66" s="12">
        <v>5.3388090238268573</v>
      </c>
      <c r="J66" s="12">
        <v>4.8604111659901497</v>
      </c>
      <c r="K66" s="26">
        <v>5.3388090238268573</v>
      </c>
    </row>
    <row r="67" spans="1:21" ht="23.5" customHeight="1" x14ac:dyDescent="0.35">
      <c r="C67" s="44" t="s">
        <v>4</v>
      </c>
      <c r="D67" s="45">
        <v>0.14713871586017654</v>
      </c>
      <c r="E67" s="46">
        <v>1.1533717763210431E-2</v>
      </c>
      <c r="F67" s="46">
        <v>12.75726690048814</v>
      </c>
      <c r="G67" s="46">
        <v>4.2477172966675832E-9</v>
      </c>
      <c r="H67" s="46">
        <v>0.12240135153944171</v>
      </c>
      <c r="I67" s="46">
        <v>0.17187608018091138</v>
      </c>
      <c r="J67" s="46">
        <v>0.12240135153944171</v>
      </c>
      <c r="K67" s="47">
        <v>0.17187608018091138</v>
      </c>
    </row>
    <row r="69" spans="1:21" s="1" customFormat="1" ht="23.5" customHeight="1" x14ac:dyDescent="0.35">
      <c r="A69" s="27"/>
      <c r="C69" s="2"/>
      <c r="D69" s="2"/>
      <c r="E69" s="28"/>
      <c r="F69" s="2"/>
      <c r="G69" s="2"/>
      <c r="H69" s="2"/>
      <c r="I69" s="2"/>
      <c r="J69" s="2"/>
      <c r="K69" s="2"/>
      <c r="L69" s="29"/>
      <c r="P69" s="27"/>
      <c r="U69" s="39"/>
    </row>
  </sheetData>
  <mergeCells count="4">
    <mergeCell ref="C2:F2"/>
    <mergeCell ref="F22:H22"/>
    <mergeCell ref="N22:O22"/>
    <mergeCell ref="N13:O13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SNAPPY .</dc:creator>
  <cp:lastModifiedBy>KEFFI TECH HUB</cp:lastModifiedBy>
  <dcterms:created xsi:type="dcterms:W3CDTF">2024-07-16T11:41:59Z</dcterms:created>
  <dcterms:modified xsi:type="dcterms:W3CDTF">2026-08-16T15:33:33Z</dcterms:modified>
</cp:coreProperties>
</file>